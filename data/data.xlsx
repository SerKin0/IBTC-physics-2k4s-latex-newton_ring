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Kin0\Documents\LaTeX\Лабораторная работа 9 - Кольца Ньютона\IBTC-physics-2k4s-latex-newton_ring\data\"/>
    </mc:Choice>
  </mc:AlternateContent>
  <xr:revisionPtr revIDLastSave="0" documentId="13_ncr:1_{4C85A5C7-D542-42D6-BFE0-64EDFD8B7EBD}" xr6:coauthVersionLast="47" xr6:coauthVersionMax="47" xr10:uidLastSave="{00000000-0000-0000-0000-000000000000}"/>
  <bookViews>
    <workbookView xWindow="14295" yWindow="0" windowWidth="14610" windowHeight="15585" xr2:uid="{A937FA39-8A4F-4C96-B117-91EEA6B4EDF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1" l="1"/>
  <c r="C27" i="1"/>
  <c r="N10" i="1"/>
  <c r="L3" i="1"/>
  <c r="M3" i="1"/>
  <c r="N3" i="1"/>
  <c r="L4" i="1"/>
  <c r="M4" i="1"/>
  <c r="N4" i="1"/>
  <c r="L5" i="1"/>
  <c r="M5" i="1"/>
  <c r="N5" i="1"/>
  <c r="L6" i="1"/>
  <c r="M6" i="1"/>
  <c r="N6" i="1"/>
  <c r="L7" i="1"/>
  <c r="M7" i="1"/>
  <c r="N7" i="1"/>
  <c r="L8" i="1"/>
  <c r="M8" i="1"/>
  <c r="N8" i="1"/>
  <c r="L9" i="1"/>
  <c r="M9" i="1"/>
  <c r="N9" i="1"/>
  <c r="L10" i="1"/>
  <c r="M10" i="1"/>
  <c r="L11" i="1"/>
  <c r="M11" i="1"/>
  <c r="N11" i="1"/>
  <c r="L12" i="1"/>
  <c r="M12" i="1"/>
  <c r="N12" i="1"/>
</calcChain>
</file>

<file path=xl/sharedStrings.xml><?xml version="1.0" encoding="utf-8"?>
<sst xmlns="http://schemas.openxmlformats.org/spreadsheetml/2006/main" count="22" uniqueCount="17">
  <si>
    <t>№</t>
  </si>
  <si>
    <t>l, мм</t>
  </si>
  <si>
    <t>k</t>
  </si>
  <si>
    <t>$d_{k\ 1}$, мм</t>
  </si>
  <si>
    <t>$d_{k\ 2}$, мм</t>
  </si>
  <si>
    <t>$d_{k\ 3}$, мм</t>
  </si>
  <si>
    <t>$R_1$, мм</t>
  </si>
  <si>
    <t>$R_3$, мм</t>
  </si>
  <si>
    <t>$R_2$, мм</t>
  </si>
  <si>
    <t>$\Delta R_1$, мм</t>
  </si>
  <si>
    <t>$\Delta R_2$, мм</t>
  </si>
  <si>
    <t>$\Delta R_3$, мм</t>
  </si>
  <si>
    <t>n=</t>
  </si>
  <si>
    <t>lambda=</t>
  </si>
  <si>
    <t>delta_d=</t>
  </si>
  <si>
    <t>beta=</t>
  </si>
  <si>
    <t>delta_beta=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</si>
</sst>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charset val="204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/>
    <xf numFmtId="1" fontId="0" fillId="0" borderId="0" xfId="0" applyNumberFormat="1"/>
    <xf numFmtId="0" fontId="1" fillId="0" borderId="0" xfId="0" applyFont="1" applyAlignment="1">
      <alignment vertical="center"/>
    </xf>
    <xf numFmtId="0" fontId="1" fillId="0" borderId="0" xfId="0" applyFont="1"/>
    <xf numFmtId="2" fontId="1" fillId="0" borderId="0" xfId="0" applyNumberFormat="1" applyFont="1"/>
    <xf numFmtId="164" fontId="1" fillId="0" borderId="0" xfId="0" applyNumberFormat="1" applyFont="1" applyAlignment="1">
      <alignment vertical="center"/>
    </xf>
    <xf numFmtId="164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Лист1!$I$2</c:f>
              <c:strCache>
                <c:ptCount val="1"/>
                <c:pt idx="0">
                  <c:v>l, мм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Лист1!$D$3:$D$22</c:f>
              <c:numCache>
                <c:formatCode>General</c:formatCode>
                <c:ptCount val="20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-1</c:v>
                </c:pt>
                <c:pt idx="11">
                  <c:v>-2</c:v>
                </c:pt>
                <c:pt idx="12">
                  <c:v>-3</c:v>
                </c:pt>
                <c:pt idx="13">
                  <c:v>-4</c:v>
                </c:pt>
                <c:pt idx="14">
                  <c:v>-5</c:v>
                </c:pt>
                <c:pt idx="15">
                  <c:v>-6</c:v>
                </c:pt>
                <c:pt idx="16">
                  <c:v>-7</c:v>
                </c:pt>
                <c:pt idx="17">
                  <c:v>-8</c:v>
                </c:pt>
                <c:pt idx="18">
                  <c:v>-9</c:v>
                </c:pt>
                <c:pt idx="19">
                  <c:v>-10</c:v>
                </c:pt>
              </c:numCache>
            </c:numRef>
          </c:xVal>
          <c:yVal>
            <c:numRef>
              <c:f>Лист1!$I$3:$I$22</c:f>
              <c:numCache>
                <c:formatCode>0.00</c:formatCode>
                <c:ptCount val="20"/>
                <c:pt idx="0">
                  <c:v>31.28</c:v>
                </c:pt>
                <c:pt idx="1">
                  <c:v>31.43</c:v>
                </c:pt>
                <c:pt idx="2">
                  <c:v>31.58</c:v>
                </c:pt>
                <c:pt idx="3">
                  <c:v>31.71</c:v>
                </c:pt>
                <c:pt idx="4">
                  <c:v>31.89</c:v>
                </c:pt>
                <c:pt idx="5">
                  <c:v>32.020000000000003</c:v>
                </c:pt>
                <c:pt idx="6">
                  <c:v>32.21</c:v>
                </c:pt>
                <c:pt idx="7">
                  <c:v>32.24</c:v>
                </c:pt>
                <c:pt idx="8">
                  <c:v>32.770000000000003</c:v>
                </c:pt>
                <c:pt idx="9">
                  <c:v>33.07</c:v>
                </c:pt>
                <c:pt idx="10">
                  <c:v>34.61</c:v>
                </c:pt>
                <c:pt idx="11">
                  <c:v>35.020000000000003</c:v>
                </c:pt>
                <c:pt idx="12">
                  <c:v>35.270000000000003</c:v>
                </c:pt>
                <c:pt idx="13">
                  <c:v>35.5</c:v>
                </c:pt>
                <c:pt idx="14">
                  <c:v>35.69</c:v>
                </c:pt>
                <c:pt idx="15">
                  <c:v>35.89</c:v>
                </c:pt>
                <c:pt idx="16">
                  <c:v>36.04</c:v>
                </c:pt>
                <c:pt idx="17">
                  <c:v>36.17</c:v>
                </c:pt>
                <c:pt idx="18">
                  <c:v>36.33</c:v>
                </c:pt>
                <c:pt idx="19">
                  <c:v>36.49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7D-44F5-8AA9-90569F424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492800"/>
        <c:axId val="341491360"/>
      </c:scatterChart>
      <c:valAx>
        <c:axId val="341492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491360"/>
        <c:crosses val="autoZero"/>
        <c:crossBetween val="midCat"/>
      </c:valAx>
      <c:valAx>
        <c:axId val="34149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492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523874</xdr:colOff>
      <xdr:row>22</xdr:row>
      <xdr:rowOff>123092</xdr:rowOff>
    </xdr:from>
    <xdr:to>
      <xdr:col>17</xdr:col>
      <xdr:colOff>230798</xdr:colOff>
      <xdr:row>37</xdr:row>
      <xdr:rowOff>8792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EF5CC011-25F5-0BBE-4A68-AAB57B63FA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79619-4BCB-48B1-AC73-F232A908E661}">
  <dimension ref="B2:W29"/>
  <sheetViews>
    <sheetView tabSelected="1" topLeftCell="H1" zoomScale="85" zoomScaleNormal="85" workbookViewId="0">
      <selection activeCell="J10" sqref="J10"/>
    </sheetView>
  </sheetViews>
  <sheetFormatPr defaultRowHeight="15" x14ac:dyDescent="0.25"/>
  <cols>
    <col min="18" max="20" width="10" bestFit="1" customWidth="1"/>
  </cols>
  <sheetData>
    <row r="2" spans="2:23" x14ac:dyDescent="0.25">
      <c r="B2" s="1"/>
      <c r="D2" s="1" t="s">
        <v>0</v>
      </c>
      <c r="E2" t="s">
        <v>1</v>
      </c>
      <c r="F2" s="1" t="s">
        <v>0</v>
      </c>
      <c r="G2" t="s">
        <v>1</v>
      </c>
      <c r="H2" s="1" t="s">
        <v>0</v>
      </c>
      <c r="I2" t="s">
        <v>1</v>
      </c>
      <c r="K2" t="s">
        <v>2</v>
      </c>
      <c r="L2" t="s">
        <v>3</v>
      </c>
      <c r="M2" t="s">
        <v>4</v>
      </c>
      <c r="N2" t="s">
        <v>5</v>
      </c>
      <c r="Q2" t="s">
        <v>2</v>
      </c>
      <c r="R2" t="s">
        <v>6</v>
      </c>
      <c r="S2" t="s">
        <v>8</v>
      </c>
      <c r="T2" t="s">
        <v>7</v>
      </c>
      <c r="U2" t="s">
        <v>9</v>
      </c>
      <c r="V2" t="s">
        <v>10</v>
      </c>
      <c r="W2" t="s">
        <v>11</v>
      </c>
    </row>
    <row r="3" spans="2:23" x14ac:dyDescent="0.25">
      <c r="B3" s="1"/>
      <c r="C3" s="2"/>
      <c r="D3" s="1">
        <v>10</v>
      </c>
      <c r="E3" s="2">
        <v>31.2</v>
      </c>
      <c r="F3" s="1">
        <v>10</v>
      </c>
      <c r="G3" s="2">
        <v>31.2</v>
      </c>
      <c r="H3" s="1">
        <v>10</v>
      </c>
      <c r="I3" s="2">
        <v>31.28</v>
      </c>
      <c r="J3" s="1"/>
      <c r="K3" s="3">
        <v>10</v>
      </c>
      <c r="L3" s="2">
        <f>E22-E3</f>
        <v>5.2799999999999976</v>
      </c>
      <c r="M3" s="2">
        <f>G22-G3</f>
        <v>5.2900000000000027</v>
      </c>
      <c r="N3" s="2">
        <f>I22-I3</f>
        <v>5.2100000000000009</v>
      </c>
      <c r="Q3" s="3">
        <v>10</v>
      </c>
      <c r="R3" s="7">
        <v>921.24099999999999</v>
      </c>
      <c r="S3" s="8">
        <v>945.48400000000004</v>
      </c>
      <c r="T3" s="8">
        <v>933.32299999999998</v>
      </c>
      <c r="U3">
        <v>192.124</v>
      </c>
      <c r="V3">
        <v>197.1</v>
      </c>
      <c r="W3">
        <v>194.60400000000001</v>
      </c>
    </row>
    <row r="4" spans="2:23" x14ac:dyDescent="0.25">
      <c r="B4" s="1"/>
      <c r="C4" s="2"/>
      <c r="D4" s="1">
        <v>9</v>
      </c>
      <c r="E4" s="2">
        <v>31.43</v>
      </c>
      <c r="F4" s="1">
        <v>9</v>
      </c>
      <c r="G4" s="2">
        <v>31.43</v>
      </c>
      <c r="H4" s="1">
        <v>9</v>
      </c>
      <c r="I4" s="2">
        <v>31.43</v>
      </c>
      <c r="J4" s="1"/>
      <c r="K4" s="3">
        <v>9</v>
      </c>
      <c r="L4" s="2">
        <f>E21-E4</f>
        <v>4.9100000000000037</v>
      </c>
      <c r="M4" s="2">
        <f>G21-G4</f>
        <v>4.93</v>
      </c>
      <c r="N4" s="2">
        <f>I21-I4</f>
        <v>4.8999999999999986</v>
      </c>
      <c r="Q4" s="3">
        <v>9</v>
      </c>
      <c r="R4" s="8">
        <v>1005.026</v>
      </c>
      <c r="S4" s="8">
        <v>1022.893</v>
      </c>
      <c r="T4" s="8">
        <v>996.15200000000004</v>
      </c>
      <c r="U4">
        <v>207.476</v>
      </c>
      <c r="V4">
        <v>211.124</v>
      </c>
      <c r="W4">
        <v>205.66300000000001</v>
      </c>
    </row>
    <row r="5" spans="2:23" x14ac:dyDescent="0.25">
      <c r="B5" s="1"/>
      <c r="C5" s="2"/>
      <c r="D5" s="1">
        <v>8</v>
      </c>
      <c r="E5" s="2">
        <v>31.59</v>
      </c>
      <c r="F5" s="1">
        <v>8</v>
      </c>
      <c r="G5" s="2">
        <v>31.57</v>
      </c>
      <c r="H5" s="1">
        <v>8</v>
      </c>
      <c r="I5" s="2">
        <v>31.58</v>
      </c>
      <c r="J5" s="1"/>
      <c r="K5" s="3">
        <v>8</v>
      </c>
      <c r="L5" s="2">
        <f>E20-E5</f>
        <v>4.59</v>
      </c>
      <c r="M5" s="2">
        <f>G20-G5</f>
        <v>4.6199999999999974</v>
      </c>
      <c r="N5" s="2">
        <f>I20-I5</f>
        <v>4.5900000000000034</v>
      </c>
      <c r="Q5" s="3">
        <v>8</v>
      </c>
      <c r="R5" s="8">
        <v>1035.8140000000001</v>
      </c>
      <c r="S5" s="8">
        <v>1043.2</v>
      </c>
      <c r="T5" s="8">
        <v>839.673</v>
      </c>
      <c r="U5">
        <v>212.934</v>
      </c>
      <c r="V5">
        <v>214.43899999999999</v>
      </c>
      <c r="W5">
        <v>172.94399999999999</v>
      </c>
    </row>
    <row r="6" spans="2:23" x14ac:dyDescent="0.25">
      <c r="B6" s="1"/>
      <c r="C6" s="2"/>
      <c r="D6" s="1">
        <v>7</v>
      </c>
      <c r="E6" s="2">
        <v>31.71</v>
      </c>
      <c r="F6" s="1">
        <v>7</v>
      </c>
      <c r="G6" s="2">
        <v>31.72</v>
      </c>
      <c r="H6" s="1">
        <v>7</v>
      </c>
      <c r="I6" s="2">
        <v>31.71</v>
      </c>
      <c r="J6" s="1"/>
      <c r="K6" s="3">
        <v>7</v>
      </c>
      <c r="L6" s="2">
        <f>E19-E6</f>
        <v>4.32</v>
      </c>
      <c r="M6" s="2">
        <f>G19-G6</f>
        <v>4.3400000000000034</v>
      </c>
      <c r="N6" s="2">
        <f>I19-I6</f>
        <v>4.3299999999999983</v>
      </c>
      <c r="Q6" s="3">
        <v>7</v>
      </c>
      <c r="R6" s="8">
        <v>1058.4690000000001</v>
      </c>
      <c r="S6" s="8">
        <v>1071.4169999999999</v>
      </c>
      <c r="T6" s="8">
        <v>1064.933</v>
      </c>
      <c r="U6">
        <v>217.05199999999999</v>
      </c>
      <c r="V6">
        <v>219.68700000000001</v>
      </c>
      <c r="W6">
        <v>218.36699999999999</v>
      </c>
    </row>
    <row r="7" spans="2:23" x14ac:dyDescent="0.25">
      <c r="B7" s="1"/>
      <c r="C7" s="2"/>
      <c r="D7" s="1">
        <v>6</v>
      </c>
      <c r="E7" s="2">
        <v>31.86</v>
      </c>
      <c r="F7" s="1">
        <v>6</v>
      </c>
      <c r="G7" s="2">
        <v>31.9</v>
      </c>
      <c r="H7" s="1">
        <v>6</v>
      </c>
      <c r="I7" s="2">
        <v>31.89</v>
      </c>
      <c r="J7" s="1"/>
      <c r="K7" s="3">
        <v>6</v>
      </c>
      <c r="L7" s="2">
        <f>E18-E7</f>
        <v>4.009999999999998</v>
      </c>
      <c r="M7" s="2">
        <f>G18-G7</f>
        <v>4.009999999999998</v>
      </c>
      <c r="N7" s="2">
        <f>I18-I7</f>
        <v>4</v>
      </c>
      <c r="Q7" s="3">
        <v>6</v>
      </c>
      <c r="R7" s="8">
        <v>1060.114</v>
      </c>
      <c r="S7" s="8">
        <v>1083.3489999999999</v>
      </c>
      <c r="T7" s="8">
        <v>1060.114</v>
      </c>
      <c r="U7">
        <v>217.04599999999999</v>
      </c>
      <c r="V7">
        <v>221.77099999999999</v>
      </c>
      <c r="W7">
        <v>217.04599999999999</v>
      </c>
    </row>
    <row r="8" spans="2:23" x14ac:dyDescent="0.25">
      <c r="B8" s="1"/>
      <c r="C8" s="2"/>
      <c r="D8" s="1">
        <v>5</v>
      </c>
      <c r="E8" s="2">
        <v>32.020000000000003</v>
      </c>
      <c r="F8" s="1">
        <v>5</v>
      </c>
      <c r="G8" s="2">
        <v>32.04</v>
      </c>
      <c r="H8" s="1">
        <v>5</v>
      </c>
      <c r="I8" s="2">
        <v>32.020000000000003</v>
      </c>
      <c r="J8" s="1"/>
      <c r="K8" s="3">
        <v>5</v>
      </c>
      <c r="L8" s="2">
        <f>E17-E8</f>
        <v>3.6699999999999946</v>
      </c>
      <c r="M8" s="2">
        <f>G17-G8</f>
        <v>3.7100000000000009</v>
      </c>
      <c r="N8" s="2">
        <f>I17-I8</f>
        <v>3.6699999999999946</v>
      </c>
      <c r="Q8" s="3">
        <v>5</v>
      </c>
      <c r="R8" s="8">
        <v>1054.6980000000001</v>
      </c>
      <c r="S8" s="8">
        <v>1054.6980000000001</v>
      </c>
      <c r="T8" s="8">
        <v>1049.444</v>
      </c>
      <c r="U8">
        <v>215.69300000000001</v>
      </c>
      <c r="V8">
        <v>215.69300000000001</v>
      </c>
      <c r="W8">
        <v>214.625</v>
      </c>
    </row>
    <row r="9" spans="2:23" x14ac:dyDescent="0.25">
      <c r="B9" s="1"/>
      <c r="C9" s="2"/>
      <c r="D9" s="1">
        <v>4</v>
      </c>
      <c r="E9" s="2">
        <v>32.22</v>
      </c>
      <c r="F9" s="1">
        <v>4</v>
      </c>
      <c r="G9" s="2">
        <v>32.26</v>
      </c>
      <c r="H9" s="1">
        <v>4</v>
      </c>
      <c r="I9" s="2">
        <v>32.21</v>
      </c>
      <c r="J9" s="1"/>
      <c r="K9" s="3">
        <v>4</v>
      </c>
      <c r="L9" s="2">
        <f>E16-E9</f>
        <v>3.2800000000000011</v>
      </c>
      <c r="M9" s="2">
        <f>G16-G9</f>
        <v>3.3000000000000043</v>
      </c>
      <c r="N9" s="2">
        <f>I16-I9</f>
        <v>3.2899999999999991</v>
      </c>
      <c r="Q9" s="3">
        <v>4</v>
      </c>
      <c r="R9" s="8">
        <v>1049.204</v>
      </c>
      <c r="S9" s="8">
        <v>1058.942</v>
      </c>
      <c r="T9" s="8">
        <v>1054.067</v>
      </c>
      <c r="U9">
        <v>214.38200000000001</v>
      </c>
      <c r="V9">
        <v>216.36</v>
      </c>
      <c r="W9">
        <v>215.37</v>
      </c>
    </row>
    <row r="10" spans="2:23" x14ac:dyDescent="0.25">
      <c r="B10" s="1"/>
      <c r="C10" s="2"/>
      <c r="D10" s="1">
        <v>3</v>
      </c>
      <c r="E10" s="2">
        <v>32.450000000000003</v>
      </c>
      <c r="F10" s="1">
        <v>3</v>
      </c>
      <c r="G10" s="2">
        <v>32.47</v>
      </c>
      <c r="H10" s="1">
        <v>3</v>
      </c>
      <c r="I10" s="2">
        <f>32.74-0.5</f>
        <v>32.24</v>
      </c>
      <c r="J10" s="1"/>
      <c r="K10" s="3">
        <v>3</v>
      </c>
      <c r="L10" s="2">
        <f>E15-E10</f>
        <v>2.8099999999999952</v>
      </c>
      <c r="M10" s="2">
        <f>G15-G10</f>
        <v>2.8200000000000003</v>
      </c>
      <c r="N10" s="2">
        <f>I15-I10</f>
        <v>3.0300000000000011</v>
      </c>
      <c r="Q10" s="3">
        <v>3</v>
      </c>
      <c r="R10" s="8">
        <v>1036.3969999999999</v>
      </c>
      <c r="S10" s="8">
        <v>1049.9880000000001</v>
      </c>
      <c r="T10" s="8">
        <v>1036.3969999999999</v>
      </c>
      <c r="U10">
        <v>211.624</v>
      </c>
      <c r="V10">
        <v>214.38399999999999</v>
      </c>
      <c r="W10">
        <v>211.624</v>
      </c>
    </row>
    <row r="11" spans="2:23" x14ac:dyDescent="0.25">
      <c r="B11" s="1"/>
      <c r="C11" s="2"/>
      <c r="D11" s="1">
        <v>2</v>
      </c>
      <c r="E11" s="2">
        <v>32.729999999999997</v>
      </c>
      <c r="F11" s="1">
        <v>2</v>
      </c>
      <c r="G11" s="2">
        <v>32.74</v>
      </c>
      <c r="H11" s="1">
        <v>2</v>
      </c>
      <c r="I11" s="2">
        <v>32.770000000000003</v>
      </c>
      <c r="J11" s="1"/>
      <c r="K11" s="3">
        <v>2</v>
      </c>
      <c r="L11" s="2">
        <f>E14-E11</f>
        <v>2.2600000000000051</v>
      </c>
      <c r="M11" s="2">
        <f>G14-G11</f>
        <v>2.2800000000000011</v>
      </c>
      <c r="N11" s="2">
        <f>I14-I11</f>
        <v>2.25</v>
      </c>
      <c r="Q11" s="3">
        <v>2</v>
      </c>
      <c r="R11" s="8">
        <v>1054.171</v>
      </c>
      <c r="S11" s="8">
        <v>1062.7760000000001</v>
      </c>
      <c r="T11" s="8">
        <v>1049.8810000000001</v>
      </c>
      <c r="U11">
        <v>215.10300000000001</v>
      </c>
      <c r="V11">
        <v>216.851</v>
      </c>
      <c r="W11">
        <v>214.232</v>
      </c>
    </row>
    <row r="12" spans="2:23" x14ac:dyDescent="0.25">
      <c r="B12" s="1"/>
      <c r="C12" s="2"/>
      <c r="D12" s="1">
        <v>1</v>
      </c>
      <c r="E12" s="2">
        <v>33.090000000000003</v>
      </c>
      <c r="F12" s="1">
        <v>1</v>
      </c>
      <c r="G12" s="2">
        <v>33.08</v>
      </c>
      <c r="H12" s="1">
        <v>1</v>
      </c>
      <c r="I12" s="2">
        <v>33.07</v>
      </c>
      <c r="J12" s="1"/>
      <c r="K12" s="3">
        <v>1</v>
      </c>
      <c r="L12" s="2">
        <f>E13-E12</f>
        <v>1.529999999999994</v>
      </c>
      <c r="M12" s="2">
        <f>G13-G12</f>
        <v>1.5500000000000043</v>
      </c>
      <c r="N12" s="2">
        <f>I13-I12</f>
        <v>1.5399999999999991</v>
      </c>
      <c r="Q12" s="3">
        <v>1</v>
      </c>
      <c r="R12" s="8">
        <v>1097.1310000000001</v>
      </c>
      <c r="S12" s="8">
        <v>1101.2909999999999</v>
      </c>
      <c r="T12" s="8">
        <v>1068.2329999999999</v>
      </c>
      <c r="U12">
        <v>223.71299999999999</v>
      </c>
      <c r="V12">
        <v>224.55699999999999</v>
      </c>
      <c r="W12">
        <v>217.84700000000001</v>
      </c>
    </row>
    <row r="13" spans="2:23" x14ac:dyDescent="0.25">
      <c r="B13" s="1"/>
      <c r="C13" s="2"/>
      <c r="D13" s="1">
        <v>-1</v>
      </c>
      <c r="E13" s="2">
        <v>34.619999999999997</v>
      </c>
      <c r="F13" s="1">
        <v>-1</v>
      </c>
      <c r="G13" s="2">
        <v>34.630000000000003</v>
      </c>
      <c r="H13" s="1">
        <v>-1</v>
      </c>
      <c r="I13" s="2">
        <v>34.61</v>
      </c>
      <c r="J13" s="1"/>
      <c r="L13" s="2"/>
      <c r="P13" s="2"/>
    </row>
    <row r="14" spans="2:23" x14ac:dyDescent="0.25">
      <c r="B14" s="1"/>
      <c r="C14" s="2"/>
      <c r="D14" s="1">
        <v>-2</v>
      </c>
      <c r="E14" s="2">
        <v>34.99</v>
      </c>
      <c r="F14" s="1">
        <v>-2</v>
      </c>
      <c r="G14" s="2">
        <v>35.020000000000003</v>
      </c>
      <c r="H14" s="1">
        <v>-2</v>
      </c>
      <c r="I14" s="2">
        <v>35.020000000000003</v>
      </c>
      <c r="J14" s="1"/>
      <c r="L14" s="2"/>
      <c r="P14" s="2"/>
    </row>
    <row r="15" spans="2:23" x14ac:dyDescent="0.25">
      <c r="B15" s="1"/>
      <c r="C15" s="2"/>
      <c r="D15" s="1">
        <v>-3</v>
      </c>
      <c r="E15" s="2">
        <v>35.26</v>
      </c>
      <c r="F15" s="1">
        <v>-3</v>
      </c>
      <c r="G15" s="2">
        <v>35.29</v>
      </c>
      <c r="H15" s="1">
        <v>-3</v>
      </c>
      <c r="I15" s="2">
        <v>35.270000000000003</v>
      </c>
      <c r="J15" s="1"/>
      <c r="L15" s="2"/>
      <c r="P15" s="2"/>
    </row>
    <row r="16" spans="2:23" x14ac:dyDescent="0.25">
      <c r="B16" s="1"/>
      <c r="C16" s="2"/>
      <c r="D16" s="1">
        <v>-4</v>
      </c>
      <c r="E16" s="2">
        <v>35.5</v>
      </c>
      <c r="F16" s="1">
        <v>-4</v>
      </c>
      <c r="G16" s="2">
        <v>35.56</v>
      </c>
      <c r="H16" s="1">
        <v>-4</v>
      </c>
      <c r="I16" s="2">
        <v>35.5</v>
      </c>
      <c r="J16" s="1"/>
      <c r="P16" s="2"/>
    </row>
    <row r="17" spans="2:21" x14ac:dyDescent="0.25">
      <c r="B17" s="1"/>
      <c r="C17" s="2"/>
      <c r="D17" s="1">
        <v>-5</v>
      </c>
      <c r="E17" s="2">
        <v>35.69</v>
      </c>
      <c r="F17" s="1">
        <v>-5</v>
      </c>
      <c r="G17" s="2">
        <v>35.75</v>
      </c>
      <c r="H17" s="1">
        <v>-5</v>
      </c>
      <c r="I17" s="2">
        <v>35.69</v>
      </c>
      <c r="J17" s="1"/>
      <c r="P17" s="2"/>
    </row>
    <row r="18" spans="2:21" x14ac:dyDescent="0.25">
      <c r="B18" s="1"/>
      <c r="C18" s="2"/>
      <c r="D18" s="1">
        <v>-6</v>
      </c>
      <c r="E18" s="2">
        <v>35.869999999999997</v>
      </c>
      <c r="F18" s="1">
        <v>-6</v>
      </c>
      <c r="G18" s="2">
        <v>35.909999999999997</v>
      </c>
      <c r="H18" s="1">
        <v>-6</v>
      </c>
      <c r="I18" s="2">
        <v>35.89</v>
      </c>
      <c r="J18" s="1"/>
      <c r="L18" s="4"/>
      <c r="M18" s="5"/>
      <c r="N18" s="5"/>
      <c r="O18" s="5"/>
      <c r="P18" s="6"/>
      <c r="Q18" s="5"/>
      <c r="R18" s="5"/>
      <c r="S18" s="5"/>
      <c r="T18" s="5"/>
      <c r="U18" s="5"/>
    </row>
    <row r="19" spans="2:21" x14ac:dyDescent="0.25">
      <c r="B19" s="1"/>
      <c r="C19" s="2"/>
      <c r="D19" s="1">
        <v>-7</v>
      </c>
      <c r="E19" s="2">
        <v>36.03</v>
      </c>
      <c r="F19" s="1">
        <v>-7</v>
      </c>
      <c r="G19" s="2">
        <v>36.06</v>
      </c>
      <c r="H19" s="1">
        <v>-7</v>
      </c>
      <c r="I19" s="2">
        <v>36.04</v>
      </c>
      <c r="J19" s="1"/>
      <c r="L19" s="5"/>
      <c r="M19" s="5"/>
      <c r="N19" s="5"/>
      <c r="O19" s="5"/>
      <c r="P19" s="6"/>
      <c r="Q19" s="5"/>
      <c r="R19" s="5"/>
      <c r="S19" s="5"/>
      <c r="T19" s="5"/>
      <c r="U19" s="5"/>
    </row>
    <row r="20" spans="2:21" x14ac:dyDescent="0.25">
      <c r="B20" s="1"/>
      <c r="C20" s="2"/>
      <c r="D20" s="1">
        <v>-8</v>
      </c>
      <c r="E20" s="2">
        <v>36.18</v>
      </c>
      <c r="F20" s="1">
        <v>-8</v>
      </c>
      <c r="G20" s="2">
        <v>36.19</v>
      </c>
      <c r="H20" s="1">
        <v>-8</v>
      </c>
      <c r="I20" s="2">
        <v>36.17</v>
      </c>
      <c r="J20" s="1"/>
      <c r="L20" s="5"/>
      <c r="M20" s="5"/>
      <c r="N20" s="5"/>
      <c r="O20" s="5"/>
      <c r="P20" s="6"/>
      <c r="Q20" s="5"/>
      <c r="R20" s="5"/>
      <c r="S20" s="5"/>
      <c r="T20" s="5"/>
      <c r="U20" s="5"/>
    </row>
    <row r="21" spans="2:21" x14ac:dyDescent="0.25">
      <c r="B21" s="1"/>
      <c r="C21" s="2"/>
      <c r="D21" s="1">
        <v>-9</v>
      </c>
      <c r="E21" s="2">
        <v>36.340000000000003</v>
      </c>
      <c r="F21" s="1">
        <v>-9</v>
      </c>
      <c r="G21" s="2">
        <v>36.36</v>
      </c>
      <c r="H21" s="1">
        <v>-9</v>
      </c>
      <c r="I21" s="2">
        <v>36.33</v>
      </c>
      <c r="J21" s="1"/>
      <c r="P21" s="2"/>
    </row>
    <row r="22" spans="2:21" x14ac:dyDescent="0.25">
      <c r="B22" s="1"/>
      <c r="C22" s="2"/>
      <c r="D22" s="1">
        <v>-10</v>
      </c>
      <c r="E22" s="2">
        <v>36.479999999999997</v>
      </c>
      <c r="F22" s="1">
        <v>-10</v>
      </c>
      <c r="G22" s="2">
        <v>36.49</v>
      </c>
      <c r="H22" s="1">
        <v>-10</v>
      </c>
      <c r="I22" s="2">
        <v>36.49</v>
      </c>
      <c r="J22" s="1"/>
      <c r="P22" s="2"/>
    </row>
    <row r="25" spans="2:21" x14ac:dyDescent="0.25">
      <c r="B25" t="s">
        <v>12</v>
      </c>
      <c r="C25" s="2">
        <v>1</v>
      </c>
    </row>
    <row r="26" spans="2:21" x14ac:dyDescent="0.25">
      <c r="B26" t="s">
        <v>13</v>
      </c>
      <c r="C26" s="2">
        <v>0.54700000000000004</v>
      </c>
    </row>
    <row r="27" spans="2:21" x14ac:dyDescent="0.25">
      <c r="B27" t="s">
        <v>14</v>
      </c>
      <c r="C27">
        <f>5*10^-6</f>
        <v>4.9999999999999996E-6</v>
      </c>
    </row>
    <row r="28" spans="2:21" x14ac:dyDescent="0.25">
      <c r="B28" t="s">
        <v>15</v>
      </c>
      <c r="C28">
        <v>22</v>
      </c>
    </row>
    <row r="29" spans="2:21" x14ac:dyDescent="0.25">
      <c r="B29" t="s">
        <v>16</v>
      </c>
      <c r="C29">
        <v>0.5</v>
      </c>
    </row>
  </sheetData>
  <sortState xmlns:xlrd2="http://schemas.microsoft.com/office/spreadsheetml/2017/richdata2" ref="B3:J22">
    <sortCondition ref="J3:J22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Скороходов</dc:creator>
  <cp:lastModifiedBy>Сергей Скороходов</cp:lastModifiedBy>
  <dcterms:created xsi:type="dcterms:W3CDTF">2026-04-13T10:05:31Z</dcterms:created>
  <dcterms:modified xsi:type="dcterms:W3CDTF">2026-04-15T06:46:22Z</dcterms:modified>
</cp:coreProperties>
</file>